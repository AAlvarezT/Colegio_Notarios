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077075BC-4B02-4E9E-B016-E066F5F3C6FB}" xr6:coauthVersionLast="47" xr6:coauthVersionMax="47" xr10:uidLastSave="{00000000-0000-0000-0000-000000000000}"/>
  <bookViews>
    <workbookView xWindow="-120" yWindow="-120" windowWidth="29040" windowHeight="15840" xr2:uid="{CA5AB68A-5D4D-4099-8942-A7BECEDA6806}"/>
  </bookViews>
  <sheets>
    <sheet name="Hoja1" sheetId="1" r:id="rId1"/>
  </sheets>
  <definedNames>
    <definedName name="DatosExternos_1" localSheetId="0">Hoja1!#REF!</definedName>
    <definedName name="DatosExternos_2" localSheetId="0">Hoja1!#REF!</definedName>
    <definedName name="DatosExternos_3" localSheetId="0">Hoja1!#REF!</definedName>
    <definedName name="DatosExternos_4" localSheetId="0">Hoja1!#REF!</definedName>
    <definedName name="DatosExternos_5" localSheetId="0">Hoja1!#REF!</definedName>
    <definedName name="DatosExternos_6" localSheetId="0">Hoja1!$B$7:$AD$17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" i="1" l="1"/>
  <c r="U19" i="1"/>
  <c r="T19" i="1"/>
  <c r="S19" i="1"/>
  <c r="R19" i="1"/>
  <c r="Q19" i="1"/>
  <c r="P19" i="1"/>
  <c r="O19" i="1"/>
  <c r="N19" i="1"/>
  <c r="M19" i="1"/>
  <c r="L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095F6-A4B3-4039-97AA-34AFB7D4442F}" name="Conexión5" type="1" refreshedVersion="8" background="1" saveData="1">
    <dbPr connection="DRIVER=SQL Server;SERVER=SERV-STARSOFT;UID=25;APP=Microsoft® Query;WSID=CNLYFALCON;DATABASE=BDWENCO" command="SELECT R.CO_C_COMPR,R.CO_D_FECDC,R.CO_D_FECHAVTO,R.TIPDOC_SUNAT,(CASE WHEN R.TIPDOC_SUNAT = '10' THEN '1683' ELSE LEFT(R.CO_C_DOCUM,4) END),CASE WHEN R.TIPDOC_SUNAT ='50' OR R.TIPDOC_SUNAT='52' OR R.TIPDOC_SUNAT='53' OR R.TIPDOC_SUNAT='54' THEN RTRIM(SUBSTRING(R.CO_C_DOCUM,6,4)) ELSE '' END, CASE WHEN R.TIPDOC_SUNAT ='50' OR R.TIPDOC_SUNAT='52' OR R.TIPDOC_SUNAT='53' OR R.TIPDOC_SUNAT='54' THEN RTRIM(SUBSTRING(R.CO_C_DOCUM,11,20)) ELSE RTRIM(SUBSTRING(R.CO_C_DOCUM,6,20)) END,R.TIPODOC,R.CO_C_RUC,R.CO_A_RAZON,PLANCTA_DESCRIPCION,R.LN_BISCF,R.LN_IGVSCF,0, 0,R.LN_BOGDM,R.LN_IGVGDM,R.LN_BINCF,R.LN_IGVNCF,R.LN_INAFE,CASE WHEN R.CO_C_DESTI='014' THEN R.LN_INAFE ELSE 0 END,ISNULL(R.CO_N_ISC,0) AS CO_N_ISC,ISNULL(R.CO_N_IBOLSA,0) as CO_N_IBOLSA,ISNULL(R.CO_N_OTROIMP,0) as CO_N_OTROIMP,(R.LN_IGVSCF+R.LN_IGVNCF+R.LN_BISCF+R.LN_BINCF+R.CO_N_IGVPA+R.LN_INAFE+R.LN_IGVGDM+R.LN_BOGDM+ISNULL(R.CO_N_IBOLSA,0)+ISNULL(R.CO_N_OTROIMP,0)+ISNULL(R.CO_N_ISC,0)) as TOTAL ,CASE WHEN ISNULL(R.NRODOC_NO_DOMI,'')='' THEN NULL ELSE R.NRODOC_NO_DOMI END AS N_NODOMI,R.CO_NUM_RETRAC,R.CO_FEC_RETRAC,R.CO_N_TIPCA,(CASE WHEN R.DOC_NO_DOMI='S' THEN NULL ELSE R.CO_D_FECRF END),(CASE WHEN R.DOC_NO_DOMI='S' THEN '' ELSE R.CO_C_TPDRF_SUNAT END), (CASE WHEN R.DOC_NO_DOMI='S' THEN '' ELSE LEFT(R.CO_C_DCREF,4) END),(CASE WHEN R.DOC_NO_DOMI = 'S' THEN '' ELSE RTRIM(SUBSTRING(R.CO_C_DCREF,5,20)) END) ,'', '' ,R.CODUSU, R.NOMUSU  FROM BDWENCO.dbo.RPTREGCOM R  WHERE TIPDOC_DESCRIPCION='COMPROBANTE NO DOMICILIAD' ORDER BY R.CO_A_RAZON,R.CO_C_DOCUM,R.CO_D_FECDC,R.CO_C_COMPR "/>
  </connection>
</connections>
</file>

<file path=xl/sharedStrings.xml><?xml version="1.0" encoding="utf-8"?>
<sst xmlns="http://schemas.openxmlformats.org/spreadsheetml/2006/main" count="180" uniqueCount="93">
  <si>
    <t/>
  </si>
  <si>
    <t xml:space="preserve">SubTotal: </t>
  </si>
  <si>
    <t>91   COMPROBANTE NO DOMICILIAD</t>
  </si>
  <si>
    <t>04 - 0405</t>
  </si>
  <si>
    <t>91</t>
  </si>
  <si>
    <t>NNNN</t>
  </si>
  <si>
    <t>CC202R601152256</t>
  </si>
  <si>
    <t>0</t>
  </si>
  <si>
    <t>201923456H</t>
  </si>
  <si>
    <t>BYTEDANCE PTE LTD</t>
  </si>
  <si>
    <t>NNNNCC202R601152256</t>
  </si>
  <si>
    <t>04 - 0407</t>
  </si>
  <si>
    <t>EZNUTFSS0003</t>
  </si>
  <si>
    <t>W8BEN</t>
  </si>
  <si>
    <t>EASEUS</t>
  </si>
  <si>
    <t>NNNNEZNUTFSS0003</t>
  </si>
  <si>
    <t>04 - 0069</t>
  </si>
  <si>
    <t>5599405241</t>
  </si>
  <si>
    <t>770493581</t>
  </si>
  <si>
    <t>GOOGLE LLC</t>
  </si>
  <si>
    <t>NNNN5599405241</t>
  </si>
  <si>
    <t>04 - 0411</t>
  </si>
  <si>
    <t>5625272480</t>
  </si>
  <si>
    <t>NNNN5625272480</t>
  </si>
  <si>
    <t>04 - 0410</t>
  </si>
  <si>
    <t>0871</t>
  </si>
  <si>
    <t>80071648433</t>
  </si>
  <si>
    <t>IE9692928F</t>
  </si>
  <si>
    <t>META PLATFORMS IRELAND LIMITED</t>
  </si>
  <si>
    <t>087180071648433</t>
  </si>
  <si>
    <t>04 - 0404</t>
  </si>
  <si>
    <t>2172</t>
  </si>
  <si>
    <t>27218568594493142</t>
  </si>
  <si>
    <t>20613324047</t>
  </si>
  <si>
    <t>21722721856859449314</t>
  </si>
  <si>
    <t>04 - 0406</t>
  </si>
  <si>
    <t>M9XHDEKB0003</t>
  </si>
  <si>
    <t>20614913763</t>
  </si>
  <si>
    <t>OPENAI OPCO, LLC</t>
  </si>
  <si>
    <t>NNNNM9XHDEKB0003</t>
  </si>
  <si>
    <t>04 - 0409</t>
  </si>
  <si>
    <t>0B9H2HOI0003</t>
  </si>
  <si>
    <t>873929394</t>
  </si>
  <si>
    <t>TURBOSCRIBE</t>
  </si>
  <si>
    <t>NNNN0B9H2HOI0003</t>
  </si>
  <si>
    <t>04 - 0065</t>
  </si>
  <si>
    <t>INV19059391</t>
  </si>
  <si>
    <t>262574840</t>
  </si>
  <si>
    <t>TWILIO INC</t>
  </si>
  <si>
    <t>NNNNINV19059391</t>
  </si>
  <si>
    <t>04 - 0408</t>
  </si>
  <si>
    <t>1257349</t>
  </si>
  <si>
    <t>15559660953</t>
  </si>
  <si>
    <t>WHATSAPP API TRAINING INTERFACE</t>
  </si>
  <si>
    <t>NNNN1257349</t>
  </si>
  <si>
    <t>Número</t>
  </si>
  <si>
    <t>Correlativo</t>
  </si>
  <si>
    <t>Fecha</t>
  </si>
  <si>
    <t>Fecha Venc.</t>
  </si>
  <si>
    <t>T.D</t>
  </si>
  <si>
    <t>Comprobante de Pago o Documento</t>
  </si>
  <si>
    <t>Serie</t>
  </si>
  <si>
    <t>Año</t>
  </si>
  <si>
    <t>Tipo</t>
  </si>
  <si>
    <t>Documento de Identidad</t>
  </si>
  <si>
    <t>Proveedor</t>
  </si>
  <si>
    <t>Base Imp.</t>
  </si>
  <si>
    <t>Adq. Grav. destinadas a Ope. Grav. y/o Exportacion</t>
  </si>
  <si>
    <t>I.G.V</t>
  </si>
  <si>
    <t>Adq. Grav. Destinadas a Ope. Grav. y/o de Exportacion y a Ope. no Gravadas</t>
  </si>
  <si>
    <t>Adq. Grav. Destinadas a Ope. No Gravadas</t>
  </si>
  <si>
    <t>Adquisiciones</t>
  </si>
  <si>
    <t>no Gravadas</t>
  </si>
  <si>
    <t>I.S.C.</t>
  </si>
  <si>
    <t>Impuesto consumo de bolsas</t>
  </si>
  <si>
    <t>de plástico</t>
  </si>
  <si>
    <t>Otros Tributos</t>
  </si>
  <si>
    <t>y Cargos</t>
  </si>
  <si>
    <t>Importe</t>
  </si>
  <si>
    <t>Total</t>
  </si>
  <si>
    <t>N°  de compr. de pago emitido por</t>
  </si>
  <si>
    <t>sujeto no domic.</t>
  </si>
  <si>
    <t>Numero</t>
  </si>
  <si>
    <t>Constancia de Dep. de Detracción</t>
  </si>
  <si>
    <t>T. Camb.</t>
  </si>
  <si>
    <t>Referencia del Comp. de Pago</t>
  </si>
  <si>
    <t>COLEGIO DE NOTARIOS DE LIMA</t>
  </si>
  <si>
    <t>RUC: 20122535917</t>
  </si>
  <si>
    <t>Fecha: 10/07/2026</t>
  </si>
  <si>
    <t>Hora: 12:36:13 p.m.</t>
  </si>
  <si>
    <t>REGISTRO DE COMPRAS</t>
  </si>
  <si>
    <t>JUNIO  DEL 2026</t>
  </si>
  <si>
    <t>MONEDA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</si>
</sst>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_ * #0.00_ ;\(_*#0.00\ \)"/>
    <numFmt numFmtId="166" formatCode="_ * #0.000_ ;\(_*#0.000\ \)"/>
    <numFmt numFmtId="167" formatCode="_ * #,###,##0.00_ ;\(_*#,###,##0.00\ \)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 applyFill="1" applyAlignment="1"/>
    <xf numFmtId="0" fontId="1" fillId="0" borderId="0" xfId="0" applyFont="1" applyFill="1"/>
    <xf numFmtId="164" fontId="1" fillId="0" borderId="0" xfId="0" applyNumberFormat="1" applyFont="1" applyFill="1"/>
    <xf numFmtId="164" fontId="1" fillId="2" borderId="0" xfId="0" applyNumberFormat="1" applyFont="1" applyFill="1"/>
    <xf numFmtId="164" fontId="2" fillId="0" borderId="0" xfId="0" applyNumberFormat="1" applyFont="1" applyFill="1" applyAlignment="1"/>
    <xf numFmtId="165" fontId="1" fillId="0" borderId="0" xfId="0" applyNumberFormat="1" applyFont="1" applyFill="1"/>
    <xf numFmtId="166" fontId="1" fillId="2" borderId="0" xfId="0" applyNumberFormat="1" applyFont="1" applyFill="1"/>
    <xf numFmtId="166" fontId="2" fillId="0" borderId="0" xfId="0" applyNumberFormat="1" applyFont="1" applyFill="1" applyAlignment="1"/>
    <xf numFmtId="166" fontId="1" fillId="0" borderId="0" xfId="0" applyNumberFormat="1" applyFont="1" applyFill="1"/>
    <xf numFmtId="0" fontId="2" fillId="0" borderId="0" xfId="0" applyFont="1"/>
    <xf numFmtId="167" fontId="2" fillId="0" borderId="0" xfId="0" applyNumberFormat="1" applyFont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preserveFormatting="0" connectionId="1" xr16:uid="{902AA2E2-B506-4A2C-8C5D-C16C2E48F4C5}" autoFormatId="0" applyNumberFormats="0" applyBorderFormats="0" applyFontFormats="1" applyPatternFormats="1" applyAlignmentFormats="0" applyWidthHeightFormats="0">
  <queryTableRefresh preserveSortFilterLayout="0" nextId="38">
    <queryTableFields count="29">
      <queryTableField id="1" name="CO_C_COMPR"/>
      <queryTableField id="2" name="CO_D_FECDC"/>
      <queryTableField id="3" name="CO_D_FECHAVTO"/>
      <queryTableField id="4" name="TIPDOC_SUNAT"/>
      <queryTableField id="5"/>
      <queryTableField id="6"/>
      <queryTableField id="7"/>
      <queryTableField id="8" name="TIPODOC"/>
      <queryTableField id="9" name="CO_C_RUC"/>
      <queryTableField id="10" name="CO_A_RAZON"/>
      <queryTableField id="12" name="LN_BISCF"/>
      <queryTableField id="13" name="LN_IGVSCF"/>
      <queryTableField id="16" name="LN_BOGDM"/>
      <queryTableField id="17" name="LN_IGVGDM"/>
      <queryTableField id="18" name="LN_BINCF"/>
      <queryTableField id="19" name="LN_IGVNCF"/>
      <queryTableField id="20" name="LN_INAFE"/>
      <queryTableField id="22" name="CO_N_ISC"/>
      <queryTableField id="23" name="CO_N_IBOLSA"/>
      <queryTableField id="24" name="CO_N_OTROIMP"/>
      <queryTableField id="25" name="TOTAL"/>
      <queryTableField id="26" name="N_NODOMI"/>
      <queryTableField id="27" name="CO_NUM_RETRAC"/>
      <queryTableField id="28" name="CO_FEC_RETRAC"/>
      <queryTableField id="29" name="CO_N_TIPCA"/>
      <queryTableField id="30"/>
      <queryTableField id="31"/>
      <queryTableField id="32"/>
      <queryTableField id="33"/>
    </queryTableFields>
    <queryTableDeletedFields count="3">
      <deletedField name="CODUSU"/>
      <deletedField name="NOMUSU"/>
      <deletedField name="PLANCTA_DESCRIPCION"/>
    </queryTableDeleted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2D27-CD10-492A-B7C0-6D4AC6A77588}">
  <dimension ref="A1:AD21"/>
  <sheetViews>
    <sheetView tabSelected="1" workbookViewId="0">
      <selection activeCell="O36" sqref="O36"/>
    </sheetView>
  </sheetViews>
  <sheetFormatPr baseColWidth="10" defaultRowHeight="11.25" x14ac:dyDescent="0.2"/>
  <cols>
    <col min="1" max="1" width="0.5703125" style="2" customWidth="1"/>
    <col min="2" max="2" width="9.7109375" style="2" customWidth="1"/>
    <col min="3" max="3" width="8.7109375" style="2" bestFit="1" customWidth="1"/>
    <col min="4" max="4" width="10.42578125" style="2" bestFit="1" customWidth="1"/>
    <col min="5" max="5" width="3.42578125" style="2" bestFit="1" customWidth="1"/>
    <col min="6" max="6" width="5.140625" style="2" bestFit="1" customWidth="1"/>
    <col min="7" max="7" width="4.140625" style="2" bestFit="1" customWidth="1"/>
    <col min="8" max="8" width="15.5703125" style="2" bestFit="1" customWidth="1"/>
    <col min="9" max="9" width="4.42578125" style="2" bestFit="1" customWidth="1"/>
    <col min="10" max="10" width="10.42578125" style="2" bestFit="1" customWidth="1"/>
    <col min="11" max="11" width="28.7109375" style="2" customWidth="1"/>
    <col min="12" max="22" width="10.7109375" style="2" customWidth="1"/>
    <col min="23" max="23" width="14.5703125" style="2" customWidth="1"/>
    <col min="24" max="24" width="9.5703125" style="2" bestFit="1" customWidth="1"/>
    <col min="25" max="25" width="8.7109375" style="2" bestFit="1" customWidth="1"/>
    <col min="26" max="26" width="7.85546875" style="2" bestFit="1" customWidth="1"/>
    <col min="27" max="27" width="8.7109375" style="2" bestFit="1" customWidth="1"/>
    <col min="28" max="28" width="4.42578125" style="2" bestFit="1" customWidth="1"/>
    <col min="29" max="29" width="5.140625" style="2" bestFit="1" customWidth="1"/>
    <col min="30" max="30" width="7.28515625" style="2" bestFit="1" customWidth="1"/>
    <col min="31" max="16384" width="11.42578125" style="2"/>
  </cols>
  <sheetData>
    <row r="1" spans="1:30" x14ac:dyDescent="0.2">
      <c r="A1" s="2" t="s">
        <v>86</v>
      </c>
      <c r="K1" s="19" t="s">
        <v>90</v>
      </c>
      <c r="X1" s="2" t="s">
        <v>88</v>
      </c>
    </row>
    <row r="2" spans="1:30" x14ac:dyDescent="0.2">
      <c r="A2" s="2" t="s">
        <v>87</v>
      </c>
      <c r="K2" s="19" t="s">
        <v>91</v>
      </c>
      <c r="X2" s="2" t="s">
        <v>89</v>
      </c>
    </row>
    <row r="3" spans="1:30" x14ac:dyDescent="0.2">
      <c r="K3" s="19" t="s">
        <v>92</v>
      </c>
    </row>
    <row r="4" spans="1:30" ht="32.1" customHeight="1" x14ac:dyDescent="0.25">
      <c r="B4" s="15" t="s">
        <v>55</v>
      </c>
      <c r="C4" s="15"/>
      <c r="D4" s="15"/>
      <c r="E4" s="17" t="s">
        <v>60</v>
      </c>
      <c r="F4" s="18"/>
      <c r="G4" s="18"/>
      <c r="H4" s="18"/>
      <c r="I4" s="17" t="s">
        <v>64</v>
      </c>
      <c r="J4" s="18"/>
      <c r="K4" s="15"/>
      <c r="L4" s="17" t="s">
        <v>67</v>
      </c>
      <c r="M4" s="18"/>
      <c r="N4" s="17" t="s">
        <v>69</v>
      </c>
      <c r="O4" s="18"/>
      <c r="P4" s="17" t="s">
        <v>70</v>
      </c>
      <c r="Q4" s="18"/>
      <c r="R4" s="15" t="s">
        <v>71</v>
      </c>
      <c r="S4" s="15"/>
      <c r="T4" s="16" t="s">
        <v>74</v>
      </c>
      <c r="U4" s="15" t="s">
        <v>76</v>
      </c>
      <c r="V4" s="15" t="s">
        <v>78</v>
      </c>
      <c r="W4" s="16" t="s">
        <v>80</v>
      </c>
      <c r="X4" s="17" t="s">
        <v>83</v>
      </c>
      <c r="Y4" s="18"/>
      <c r="Z4" s="15"/>
      <c r="AA4" s="17" t="s">
        <v>85</v>
      </c>
      <c r="AB4" s="18"/>
      <c r="AC4" s="18"/>
      <c r="AD4" s="18"/>
    </row>
    <row r="5" spans="1:30" x14ac:dyDescent="0.2">
      <c r="B5" s="15" t="s">
        <v>56</v>
      </c>
      <c r="C5" s="15" t="s">
        <v>57</v>
      </c>
      <c r="D5" s="15" t="s">
        <v>58</v>
      </c>
      <c r="E5" s="15" t="s">
        <v>59</v>
      </c>
      <c r="F5" s="15" t="s">
        <v>61</v>
      </c>
      <c r="G5" s="15" t="s">
        <v>62</v>
      </c>
      <c r="H5" s="15" t="s">
        <v>55</v>
      </c>
      <c r="I5" s="15" t="s">
        <v>63</v>
      </c>
      <c r="J5" s="15" t="s">
        <v>55</v>
      </c>
      <c r="K5" s="15" t="s">
        <v>65</v>
      </c>
      <c r="L5" s="15" t="s">
        <v>66</v>
      </c>
      <c r="M5" s="15" t="s">
        <v>68</v>
      </c>
      <c r="N5" s="15" t="s">
        <v>66</v>
      </c>
      <c r="O5" s="15" t="s">
        <v>68</v>
      </c>
      <c r="P5" s="15" t="s">
        <v>66</v>
      </c>
      <c r="Q5" s="15" t="s">
        <v>68</v>
      </c>
      <c r="R5" s="15" t="s">
        <v>72</v>
      </c>
      <c r="S5" s="15" t="s">
        <v>73</v>
      </c>
      <c r="T5" s="15" t="s">
        <v>75</v>
      </c>
      <c r="U5" s="15" t="s">
        <v>77</v>
      </c>
      <c r="V5" s="15" t="s">
        <v>79</v>
      </c>
      <c r="W5" s="15" t="s">
        <v>81</v>
      </c>
      <c r="X5" s="15" t="s">
        <v>82</v>
      </c>
      <c r="Y5" s="15" t="s">
        <v>57</v>
      </c>
      <c r="Z5" s="15" t="s">
        <v>84</v>
      </c>
      <c r="AA5" s="15" t="s">
        <v>57</v>
      </c>
      <c r="AB5" s="15" t="s">
        <v>63</v>
      </c>
      <c r="AC5" s="15" t="s">
        <v>61</v>
      </c>
      <c r="AD5" s="15" t="s">
        <v>55</v>
      </c>
    </row>
    <row r="6" spans="1:30" x14ac:dyDescent="0.2">
      <c r="B6" s="1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9"/>
      <c r="AA6" s="6"/>
      <c r="AB6" s="1"/>
      <c r="AC6" s="1"/>
      <c r="AD6" s="1"/>
    </row>
    <row r="7" spans="1:30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0"/>
      <c r="AA7" s="7"/>
      <c r="AB7" s="3"/>
      <c r="AC7" s="3"/>
      <c r="AD7" s="3"/>
    </row>
    <row r="8" spans="1:30" x14ac:dyDescent="0.2">
      <c r="B8" s="4" t="s">
        <v>3</v>
      </c>
      <c r="C8" s="5">
        <v>46189</v>
      </c>
      <c r="D8" s="5"/>
      <c r="E8" s="4" t="s">
        <v>4</v>
      </c>
      <c r="F8" s="4" t="s">
        <v>5</v>
      </c>
      <c r="G8" s="4" t="s">
        <v>0</v>
      </c>
      <c r="H8" s="4" t="s">
        <v>6</v>
      </c>
      <c r="I8" s="4" t="s">
        <v>7</v>
      </c>
      <c r="J8" s="4" t="s">
        <v>8</v>
      </c>
      <c r="K8" s="4" t="s">
        <v>9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59.9</v>
      </c>
      <c r="S8" s="8">
        <v>0</v>
      </c>
      <c r="T8" s="8">
        <v>0</v>
      </c>
      <c r="U8" s="8">
        <v>0</v>
      </c>
      <c r="V8" s="8">
        <v>59.9</v>
      </c>
      <c r="W8" s="4" t="s">
        <v>10</v>
      </c>
      <c r="X8" s="4" t="s">
        <v>0</v>
      </c>
      <c r="Y8" s="5"/>
      <c r="Z8" s="11">
        <v>3.387</v>
      </c>
      <c r="AA8" s="5"/>
      <c r="AB8" s="4" t="s">
        <v>0</v>
      </c>
      <c r="AC8" s="4" t="s">
        <v>0</v>
      </c>
      <c r="AD8" s="4" t="s">
        <v>0</v>
      </c>
    </row>
    <row r="9" spans="1:30" x14ac:dyDescent="0.2">
      <c r="B9" s="4" t="s">
        <v>11</v>
      </c>
      <c r="C9" s="5">
        <v>46191</v>
      </c>
      <c r="D9" s="5"/>
      <c r="E9" s="4" t="s">
        <v>4</v>
      </c>
      <c r="F9" s="4" t="s">
        <v>5</v>
      </c>
      <c r="G9" s="4" t="s">
        <v>0</v>
      </c>
      <c r="H9" s="4" t="s">
        <v>12</v>
      </c>
      <c r="I9" s="4" t="s">
        <v>7</v>
      </c>
      <c r="J9" s="4" t="s">
        <v>13</v>
      </c>
      <c r="K9" s="4" t="s">
        <v>14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67.34</v>
      </c>
      <c r="S9" s="8">
        <v>0</v>
      </c>
      <c r="T9" s="8">
        <v>0</v>
      </c>
      <c r="U9" s="8">
        <v>0</v>
      </c>
      <c r="V9" s="8">
        <v>67.34</v>
      </c>
      <c r="W9" s="4" t="s">
        <v>15</v>
      </c>
      <c r="X9" s="4" t="s">
        <v>0</v>
      </c>
      <c r="Y9" s="5"/>
      <c r="Z9" s="11">
        <v>3.3839999999999999</v>
      </c>
      <c r="AA9" s="5"/>
      <c r="AB9" s="4" t="s">
        <v>0</v>
      </c>
      <c r="AC9" s="4" t="s">
        <v>0</v>
      </c>
      <c r="AD9" s="4" t="s">
        <v>0</v>
      </c>
    </row>
    <row r="10" spans="1:30" x14ac:dyDescent="0.2">
      <c r="B10" s="4" t="s">
        <v>16</v>
      </c>
      <c r="C10" s="5">
        <v>46173</v>
      </c>
      <c r="D10" s="5"/>
      <c r="E10" s="4" t="s">
        <v>4</v>
      </c>
      <c r="F10" s="4" t="s">
        <v>5</v>
      </c>
      <c r="G10" s="4" t="s">
        <v>0</v>
      </c>
      <c r="H10" s="4" t="s">
        <v>17</v>
      </c>
      <c r="I10" s="4" t="s">
        <v>7</v>
      </c>
      <c r="J10" s="4" t="s">
        <v>18</v>
      </c>
      <c r="K10" s="4" t="s">
        <v>19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33.25</v>
      </c>
      <c r="S10" s="8">
        <v>0</v>
      </c>
      <c r="T10" s="8">
        <v>0</v>
      </c>
      <c r="U10" s="8">
        <v>0</v>
      </c>
      <c r="V10" s="8">
        <v>33.25</v>
      </c>
      <c r="W10" s="4" t="s">
        <v>20</v>
      </c>
      <c r="X10" s="4" t="s">
        <v>0</v>
      </c>
      <c r="Y10" s="5"/>
      <c r="Z10" s="11">
        <v>3.4169999999999998</v>
      </c>
      <c r="AA10" s="5"/>
      <c r="AB10" s="4" t="s">
        <v>0</v>
      </c>
      <c r="AC10" s="4" t="s">
        <v>0</v>
      </c>
      <c r="AD10" s="4" t="s">
        <v>0</v>
      </c>
    </row>
    <row r="11" spans="1:30" x14ac:dyDescent="0.2">
      <c r="B11" s="4" t="s">
        <v>21</v>
      </c>
      <c r="C11" s="5">
        <v>46203</v>
      </c>
      <c r="D11" s="5"/>
      <c r="E11" s="4" t="s">
        <v>4</v>
      </c>
      <c r="F11" s="4" t="s">
        <v>5</v>
      </c>
      <c r="G11" s="4" t="s">
        <v>0</v>
      </c>
      <c r="H11" s="4" t="s">
        <v>22</v>
      </c>
      <c r="I11" s="4" t="s">
        <v>7</v>
      </c>
      <c r="J11" s="4" t="s">
        <v>18</v>
      </c>
      <c r="K11" s="4" t="s">
        <v>19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32.31</v>
      </c>
      <c r="S11" s="8">
        <v>0</v>
      </c>
      <c r="T11" s="8">
        <v>0</v>
      </c>
      <c r="U11" s="8">
        <v>0</v>
      </c>
      <c r="V11" s="8">
        <v>32.31</v>
      </c>
      <c r="W11" s="4" t="s">
        <v>23</v>
      </c>
      <c r="X11" s="4" t="s">
        <v>0</v>
      </c>
      <c r="Y11" s="5"/>
      <c r="Z11" s="11">
        <v>3.415</v>
      </c>
      <c r="AA11" s="5"/>
      <c r="AB11" s="4" t="s">
        <v>0</v>
      </c>
      <c r="AC11" s="4" t="s">
        <v>0</v>
      </c>
      <c r="AD11" s="4" t="s">
        <v>0</v>
      </c>
    </row>
    <row r="12" spans="1:30" x14ac:dyDescent="0.2">
      <c r="B12" s="4" t="s">
        <v>24</v>
      </c>
      <c r="C12" s="5">
        <v>46198</v>
      </c>
      <c r="D12" s="5"/>
      <c r="E12" s="4" t="s">
        <v>4</v>
      </c>
      <c r="F12" s="4" t="s">
        <v>25</v>
      </c>
      <c r="G12" s="4" t="s">
        <v>0</v>
      </c>
      <c r="H12" s="4" t="s">
        <v>26</v>
      </c>
      <c r="I12" s="4"/>
      <c r="J12" s="4" t="s">
        <v>27</v>
      </c>
      <c r="K12" s="4" t="s">
        <v>28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170</v>
      </c>
      <c r="S12" s="8">
        <v>0</v>
      </c>
      <c r="T12" s="8">
        <v>0</v>
      </c>
      <c r="U12" s="8">
        <v>0</v>
      </c>
      <c r="V12" s="8">
        <v>170</v>
      </c>
      <c r="W12" s="4" t="s">
        <v>29</v>
      </c>
      <c r="X12" s="4" t="s">
        <v>0</v>
      </c>
      <c r="Y12" s="5"/>
      <c r="Z12" s="11">
        <v>3.4249999999999998</v>
      </c>
      <c r="AA12" s="5"/>
      <c r="AB12" s="4" t="s">
        <v>0</v>
      </c>
      <c r="AC12" s="4" t="s">
        <v>0</v>
      </c>
      <c r="AD12" s="4" t="s">
        <v>0</v>
      </c>
    </row>
    <row r="13" spans="1:30" x14ac:dyDescent="0.2">
      <c r="B13" s="4" t="s">
        <v>30</v>
      </c>
      <c r="C13" s="5">
        <v>46189</v>
      </c>
      <c r="D13" s="5"/>
      <c r="E13" s="4" t="s">
        <v>4</v>
      </c>
      <c r="F13" s="4" t="s">
        <v>31</v>
      </c>
      <c r="G13" s="4" t="s">
        <v>0</v>
      </c>
      <c r="H13" s="4" t="s">
        <v>32</v>
      </c>
      <c r="I13" s="4" t="s">
        <v>7</v>
      </c>
      <c r="J13" s="4" t="s">
        <v>33</v>
      </c>
      <c r="K13" s="4" t="s">
        <v>28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200</v>
      </c>
      <c r="S13" s="8">
        <v>0</v>
      </c>
      <c r="T13" s="8">
        <v>0</v>
      </c>
      <c r="U13" s="8">
        <v>0</v>
      </c>
      <c r="V13" s="8">
        <v>200</v>
      </c>
      <c r="W13" s="4" t="s">
        <v>34</v>
      </c>
      <c r="X13" s="4" t="s">
        <v>0</v>
      </c>
      <c r="Y13" s="5"/>
      <c r="Z13" s="11">
        <v>3.387</v>
      </c>
      <c r="AA13" s="5"/>
      <c r="AB13" s="4" t="s">
        <v>0</v>
      </c>
      <c r="AC13" s="4" t="s">
        <v>0</v>
      </c>
      <c r="AD13" s="4" t="s">
        <v>0</v>
      </c>
    </row>
    <row r="14" spans="1:30" x14ac:dyDescent="0.2">
      <c r="B14" s="4" t="s">
        <v>35</v>
      </c>
      <c r="C14" s="5">
        <v>46190</v>
      </c>
      <c r="D14" s="5"/>
      <c r="E14" s="4" t="s">
        <v>4</v>
      </c>
      <c r="F14" s="4" t="s">
        <v>5</v>
      </c>
      <c r="G14" s="4" t="s">
        <v>0</v>
      </c>
      <c r="H14" s="4" t="s">
        <v>36</v>
      </c>
      <c r="I14" s="4" t="s">
        <v>7</v>
      </c>
      <c r="J14" s="4" t="s">
        <v>37</v>
      </c>
      <c r="K14" s="4" t="s">
        <v>38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19.899999999999999</v>
      </c>
      <c r="S14" s="8">
        <v>0</v>
      </c>
      <c r="T14" s="8">
        <v>0</v>
      </c>
      <c r="U14" s="8">
        <v>0</v>
      </c>
      <c r="V14" s="8">
        <v>19.899999999999999</v>
      </c>
      <c r="W14" s="4" t="s">
        <v>39</v>
      </c>
      <c r="X14" s="4" t="s">
        <v>0</v>
      </c>
      <c r="Y14" s="5"/>
      <c r="Z14" s="11">
        <v>3.3820000000000001</v>
      </c>
      <c r="AA14" s="5"/>
      <c r="AB14" s="4" t="s">
        <v>0</v>
      </c>
      <c r="AC14" s="4" t="s">
        <v>0</v>
      </c>
      <c r="AD14" s="4" t="s">
        <v>0</v>
      </c>
    </row>
    <row r="15" spans="1:30" x14ac:dyDescent="0.2">
      <c r="B15" s="4" t="s">
        <v>40</v>
      </c>
      <c r="C15" s="5">
        <v>46197</v>
      </c>
      <c r="D15" s="5"/>
      <c r="E15" s="4" t="s">
        <v>4</v>
      </c>
      <c r="F15" s="4" t="s">
        <v>5</v>
      </c>
      <c r="G15" s="4" t="s">
        <v>0</v>
      </c>
      <c r="H15" s="4" t="s">
        <v>41</v>
      </c>
      <c r="I15" s="4" t="s">
        <v>7</v>
      </c>
      <c r="J15" s="4" t="s">
        <v>42</v>
      </c>
      <c r="K15" s="4" t="s">
        <v>43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68.2</v>
      </c>
      <c r="S15" s="8">
        <v>0</v>
      </c>
      <c r="T15" s="8">
        <v>0</v>
      </c>
      <c r="U15" s="8">
        <v>0</v>
      </c>
      <c r="V15" s="8">
        <v>68.2</v>
      </c>
      <c r="W15" s="4" t="s">
        <v>44</v>
      </c>
      <c r="X15" s="4" t="s">
        <v>0</v>
      </c>
      <c r="Y15" s="5"/>
      <c r="Z15" s="11">
        <v>3.41</v>
      </c>
      <c r="AA15" s="5"/>
      <c r="AB15" s="4" t="s">
        <v>0</v>
      </c>
      <c r="AC15" s="4" t="s">
        <v>0</v>
      </c>
      <c r="AD15" s="4" t="s">
        <v>0</v>
      </c>
    </row>
    <row r="16" spans="1:30" x14ac:dyDescent="0.2">
      <c r="B16" s="4" t="s">
        <v>45</v>
      </c>
      <c r="C16" s="5">
        <v>46174</v>
      </c>
      <c r="D16" s="5"/>
      <c r="E16" s="4" t="s">
        <v>4</v>
      </c>
      <c r="F16" s="4" t="s">
        <v>5</v>
      </c>
      <c r="G16" s="4" t="s">
        <v>0</v>
      </c>
      <c r="H16" s="4" t="s">
        <v>46</v>
      </c>
      <c r="I16" s="4" t="s">
        <v>7</v>
      </c>
      <c r="J16" s="4" t="s">
        <v>47</v>
      </c>
      <c r="K16" s="4" t="s">
        <v>48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68.17</v>
      </c>
      <c r="S16" s="8">
        <v>0</v>
      </c>
      <c r="T16" s="8">
        <v>0</v>
      </c>
      <c r="U16" s="8">
        <v>0</v>
      </c>
      <c r="V16" s="8">
        <v>68.17</v>
      </c>
      <c r="W16" s="4" t="s">
        <v>49</v>
      </c>
      <c r="X16" s="4" t="s">
        <v>0</v>
      </c>
      <c r="Y16" s="5"/>
      <c r="Z16" s="11">
        <v>3.4169999999999998</v>
      </c>
      <c r="AA16" s="5"/>
      <c r="AB16" s="4" t="s">
        <v>0</v>
      </c>
      <c r="AC16" s="4" t="s">
        <v>0</v>
      </c>
      <c r="AD16" s="4" t="s">
        <v>0</v>
      </c>
    </row>
    <row r="17" spans="2:30" x14ac:dyDescent="0.2">
      <c r="B17" s="4" t="s">
        <v>50</v>
      </c>
      <c r="C17" s="5">
        <v>46191</v>
      </c>
      <c r="D17" s="5"/>
      <c r="E17" s="4" t="s">
        <v>4</v>
      </c>
      <c r="F17" s="4" t="s">
        <v>5</v>
      </c>
      <c r="G17" s="4" t="s">
        <v>0</v>
      </c>
      <c r="H17" s="4" t="s">
        <v>51</v>
      </c>
      <c r="I17" s="4" t="s">
        <v>7</v>
      </c>
      <c r="J17" s="4" t="s">
        <v>52</v>
      </c>
      <c r="K17" s="4" t="s">
        <v>53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165.82</v>
      </c>
      <c r="S17" s="8">
        <v>0</v>
      </c>
      <c r="T17" s="8">
        <v>0</v>
      </c>
      <c r="U17" s="8">
        <v>0</v>
      </c>
      <c r="V17" s="8">
        <v>165.82</v>
      </c>
      <c r="W17" s="4" t="s">
        <v>54</v>
      </c>
      <c r="X17" s="4" t="s">
        <v>0</v>
      </c>
      <c r="Y17" s="5"/>
      <c r="Z17" s="11">
        <v>3.3839999999999999</v>
      </c>
      <c r="AA17" s="5"/>
      <c r="AB17" s="4" t="s">
        <v>0</v>
      </c>
      <c r="AC17" s="4" t="s">
        <v>0</v>
      </c>
      <c r="AD17" s="4" t="s">
        <v>0</v>
      </c>
    </row>
    <row r="19" spans="2:30" x14ac:dyDescent="0.2">
      <c r="K19" s="12" t="s">
        <v>1</v>
      </c>
      <c r="L19" s="13">
        <f>SUM(L8:L17)</f>
        <v>0</v>
      </c>
      <c r="M19" s="13">
        <f>SUM(M8:M17)</f>
        <v>0</v>
      </c>
      <c r="N19" s="13">
        <f>SUM(N8:N17)</f>
        <v>0</v>
      </c>
      <c r="O19" s="13">
        <f>SUM(O8:O17)</f>
        <v>0</v>
      </c>
      <c r="P19" s="13">
        <f>SUM(P8:P17)</f>
        <v>0</v>
      </c>
      <c r="Q19" s="13">
        <f>SUM(Q8:Q17)</f>
        <v>0</v>
      </c>
      <c r="R19" s="13">
        <f>SUM(R8:R17)</f>
        <v>884.88999999999987</v>
      </c>
      <c r="S19" s="13">
        <f>SUM(S8:S17)</f>
        <v>0</v>
      </c>
      <c r="T19" s="13">
        <f>SUM(T8:T17)</f>
        <v>0</v>
      </c>
      <c r="U19" s="13">
        <f>SUM(U8:U17)</f>
        <v>0</v>
      </c>
      <c r="V19" s="13">
        <f>SUM(V8:V17)</f>
        <v>884.88999999999987</v>
      </c>
    </row>
    <row r="20" spans="2:30" ht="12" thickBot="1" x14ac:dyDescent="0.25"/>
    <row r="21" spans="2:30" ht="12" thickTop="1" x14ac:dyDescent="0.2">
      <c r="K21" s="12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</sheetData>
  <mergeCells count="7">
    <mergeCell ref="E4:H4"/>
    <mergeCell ref="I4:J4"/>
    <mergeCell ref="N4:O4"/>
    <mergeCell ref="P4:Q4"/>
    <mergeCell ref="X4:Y4"/>
    <mergeCell ref="AA4:AD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Yobana Falcon</dc:creator>
  <cp:lastModifiedBy>Yobana Falcon</cp:lastModifiedBy>
  <dcterms:created xsi:type="dcterms:W3CDTF">2026-07-10T17:36:10Z</dcterms:created>
  <dcterms:modified xsi:type="dcterms:W3CDTF">2026-07-10T17:37:05Z</dcterms:modified>
</cp:coreProperties>
</file>